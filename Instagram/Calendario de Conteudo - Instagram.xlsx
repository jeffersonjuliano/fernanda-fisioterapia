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ário" sheetId="1" state="visible" r:id="rId3"/>
    <sheet name="Pilares" sheetId="2" state="visible" r:id="rId4"/>
    <sheet name="Banco de Hashta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<sst xmlns="http://schemas.openxmlformats.org/spreadsheetml/2006/main" count="189" uniqueCount="109">
  <si>
    <t xml:space="preserve">CALENDÁRIO DE CONTEÚDO — INSTAGRAM · FERNANDA ANDRADE FISIOTERAPIA</t>
  </si>
  <si>
    <t xml:space="preserve">Preencha as células em branco (Legenda e Status). Duplique o padrão para os meses seguintes.</t>
  </si>
  <si>
    <t xml:space="preserve">Data</t>
  </si>
  <si>
    <t xml:space="preserve">Dia</t>
  </si>
  <si>
    <t xml:space="preserve">Pilar</t>
  </si>
  <si>
    <t xml:space="preserve">Formato</t>
  </si>
  <si>
    <t xml:space="preserve">Pauta / Tema</t>
  </si>
  <si>
    <t xml:space="preserve">Legenda (rascunho)</t>
  </si>
  <si>
    <t xml:space="preserve">CTA</t>
  </si>
  <si>
    <t xml:space="preserve">Status</t>
  </si>
  <si>
    <t xml:space="preserve">RESUMO</t>
  </si>
  <si>
    <t xml:space="preserve">Segunda</t>
  </si>
  <si>
    <t xml:space="preserve">Educativo</t>
  </si>
  <si>
    <t xml:space="preserve">Feed · Post único</t>
  </si>
  <si>
    <t xml:space="preserve">Postura no home office: 3 ajustes simples</t>
  </si>
  <si>
    <t xml:space="preserve">Sentar torto por 8h por dia cobra a conta. 3 ajustes simples na sua mesa hoje: tela na altura dos olhos, pés apoiados no chão e pausas a cada 40 minutos para se alongar.
Qual desses você já faz? Conta aqui embaixo 👇</t>
  </si>
  <si>
    <t xml:space="preserve">Comente ou chame no WhatsApp</t>
  </si>
  <si>
    <t xml:space="preserve">A fazer</t>
  </si>
  <si>
    <t xml:space="preserve">Total de posts</t>
  </si>
  <si>
    <t xml:space="preserve">Quarta</t>
  </si>
  <si>
    <t xml:space="preserve">Institucional</t>
  </si>
  <si>
    <t xml:space="preserve">Minha formação e o que levo pra cada atendimento</t>
  </si>
  <si>
    <t xml:space="preserve">Cada avaliação começa antes de você entrar na sala — com anos de formação em fisioterapia ortopédica e traumatológica dedicados a entender a origem da sua dor, não só o sintoma.
CREFITO-3 452277-F.</t>
  </si>
  <si>
    <t xml:space="preserve">Salve este post</t>
  </si>
  <si>
    <t xml:space="preserve">Quinta</t>
  </si>
  <si>
    <t xml:space="preserve">Bastidores</t>
  </si>
  <si>
    <t xml:space="preserve">Stories → Feed</t>
  </si>
  <si>
    <t xml:space="preserve">Como preparo a sala antes de um atendimento</t>
  </si>
  <si>
    <t xml:space="preserve">Bastidores de um dia de atendimento: organização dos materiais, avaliação do prontuário e o cuidado antes mesmo de você chegar.</t>
  </si>
  <si>
    <t xml:space="preserve">Manda um ❤️ se quiser ver mais bastidores</t>
  </si>
  <si>
    <t xml:space="preserve">Em produção</t>
  </si>
  <si>
    <t xml:space="preserve">Sexta</t>
  </si>
  <si>
    <t xml:space="preserve">Prova social</t>
  </si>
  <si>
    <t xml:space="preserve">Feed · Depoimento</t>
  </si>
  <si>
    <t xml:space="preserve">Depoimento de paciente (reabilitação de joelho)</t>
  </si>
  <si>
    <t xml:space="preserve">[Inserir depoimento real do paciente aqui, com autorização]
Resultados como esse vêm de um plano de tratamento pensado pra cada pessoa — não de fórmula pronta.</t>
  </si>
  <si>
    <t xml:space="preserve">Agende sua avaliação</t>
  </si>
  <si>
    <t xml:space="preserve">Agendado</t>
  </si>
  <si>
    <t xml:space="preserve">Sábado</t>
  </si>
  <si>
    <t xml:space="preserve">Chamada p/ ação</t>
  </si>
  <si>
    <t xml:space="preserve">Stories</t>
  </si>
  <si>
    <t xml:space="preserve">Vagas abertas na agenda da semana</t>
  </si>
  <si>
    <t xml:space="preserve">Ainda restam horários essa semana. Se a dor já tá incomodando há um tempo, esse é o momento de cuidar disso.</t>
  </si>
  <si>
    <t xml:space="preserve">Agendar pelo WhatsApp</t>
  </si>
  <si>
    <t xml:space="preserve">Publicado</t>
  </si>
  <si>
    <t xml:space="preserve">Carrossel</t>
  </si>
  <si>
    <t xml:space="preserve">Dor lombar: quando é hora de procurar ajuda</t>
  </si>
  <si>
    <t xml:space="preserve">Nem toda dor lombar passa sozinha. Se ela dura mais de 3 dias, piora ao sentar ou já mudou sua rotina, é hora de uma avaliação.
Arraste e confira os sinais de alerta →</t>
  </si>
  <si>
    <t xml:space="preserve">Salve para não esquecer</t>
  </si>
  <si>
    <t xml:space="preserve">Alongamentos rápidos para depois do trabalho</t>
  </si>
  <si>
    <t xml:space="preserve">3 alongamentos de 30 segundos cada para soltar o pescoço, ombros e lombar depois de um dia sentado.</t>
  </si>
  <si>
    <t xml:space="preserve">Marque quem precisa ler isso</t>
  </si>
  <si>
    <t xml:space="preserve">Um equipamento que uso toda semana</t>
  </si>
  <si>
    <t xml:space="preserve">Mostrando um dos materiais que uso nas sessões de terapia manual e para que serve na prática.</t>
  </si>
  <si>
    <t xml:space="preserve">Dúvidas? Manda mensagem</t>
  </si>
  <si>
    <t xml:space="preserve">Depoimento de paciente (dor crônica)</t>
  </si>
  <si>
    <t xml:space="preserve">[Inserir depoimento real do paciente aqui, com autorização]</t>
  </si>
  <si>
    <t xml:space="preserve">Lembrete de agenda + enquete</t>
  </si>
  <si>
    <t xml:space="preserve">Enquete: 'Já sente dor há mais de 1 mês?' Sim / Não — puxar gancho pro agendamento na resposta.</t>
  </si>
  <si>
    <t xml:space="preserve">Mitos sobre dor crônica</t>
  </si>
  <si>
    <t xml:space="preserve">'Se não sentir dor, não teve resultado' é mito. Fisioterapia trabalha causa, não só alívio imediato — desmontando esse e outros 2 mitos comuns.</t>
  </si>
  <si>
    <t xml:space="preserve">Comente sua dúvida</t>
  </si>
  <si>
    <t xml:space="preserve">Cursos e atualizações recentes</t>
  </si>
  <si>
    <t xml:space="preserve">Reabilitação é uma área que muda — por isso me atualizo continuamente para trazer as melhores condutas para cada caso.</t>
  </si>
  <si>
    <t xml:space="preserve">Bastidores de uma avaliação cinético-funcional</t>
  </si>
  <si>
    <t xml:space="preserve">Como é o primeiro atendimento: o que é avaliado e por quê.</t>
  </si>
  <si>
    <t xml:space="preserve">Vem entender como funciona</t>
  </si>
  <si>
    <t xml:space="preserve">Depoimento de paciente (postura/dor no ombro)</t>
  </si>
  <si>
    <t xml:space="preserve">Vagas abertas no fim de semana</t>
  </si>
  <si>
    <t xml:space="preserve">Últimos horários da semana. Não deixa a dor esperar mais um pouco.</t>
  </si>
  <si>
    <t xml:space="preserve">5 sinais de que você precisa de um fisioterapeuta</t>
  </si>
  <si>
    <t xml:space="preserve">Nem sempre dá pra saber quando procurar ajuda. Arraste e veja 5 sinais que merecem atenção — se bateu 2 ou mais, vale marcar uma avaliação.</t>
  </si>
  <si>
    <t xml:space="preserve">Link na bio para agendar</t>
  </si>
  <si>
    <t xml:space="preserve">Respiração e controle da dor</t>
  </si>
  <si>
    <t xml:space="preserve">Respirar direito ajuda a relaxar a musculatura e reduzir a percepção de dor. Um exercício simples de respiração diafragmática para fazer agora.</t>
  </si>
  <si>
    <t xml:space="preserve">Salve para praticar depois</t>
  </si>
  <si>
    <t xml:space="preserve">Playlist/rotina antes dos atendimentos</t>
  </si>
  <si>
    <t xml:space="preserve">Um lado mais pessoal: como me preparo antes de começar os atendimentos do dia.</t>
  </si>
  <si>
    <t xml:space="preserve">Compartilhe se curtir</t>
  </si>
  <si>
    <t xml:space="preserve">Depoimento de paciente (retorno ao esporte)</t>
  </si>
  <si>
    <t xml:space="preserve">Agenda de outubro abrindo</t>
  </si>
  <si>
    <t xml:space="preserve">Outubro chegando — hora de organizar os cuidados com o corpo. Horários limitados.</t>
  </si>
  <si>
    <t xml:space="preserve">Frequência</t>
  </si>
  <si>
    <t xml:space="preserve">Exemplos de pauta</t>
  </si>
  <si>
    <t xml:space="preserve">Educativo (dicas)</t>
  </si>
  <si>
    <t xml:space="preserve">2x/semana</t>
  </si>
  <si>
    <t xml:space="preserve">Postura, alongamentos, mitos sobre dor, quando procurar um fisioterapeuta.</t>
  </si>
  <si>
    <t xml:space="preserve">1x/semana</t>
  </si>
  <si>
    <t xml:space="preserve">Consultório, materiais, rotina de atendimento.</t>
  </si>
  <si>
    <t xml:space="preserve">Depoimentos e evolução de casos (com autorização, sem expor dados).</t>
  </si>
  <si>
    <t xml:space="preserve">1x a cada 2 semanas</t>
  </si>
  <si>
    <t xml:space="preserve">Formação, cursos, CREFITO, valores do atendimento.</t>
  </si>
  <si>
    <t xml:space="preserve">Chamada para ação</t>
  </si>
  <si>
    <t xml:space="preserve">Vagas na agenda, lembrete de avaliação, convite pro WhatsApp.</t>
  </si>
  <si>
    <t xml:space="preserve">Grupo</t>
  </si>
  <si>
    <t xml:space="preserve">Hashtags (copiar e colar)</t>
  </si>
  <si>
    <t xml:space="preserve">Nicho</t>
  </si>
  <si>
    <t xml:space="preserve">#fisioterapia #fisioterapeuta #fisioterapiaortopedica #reabilitacaofuncional #saudedacoluna</t>
  </si>
  <si>
    <t xml:space="preserve">Local</t>
  </si>
  <si>
    <t xml:space="preserve">#fisioterapiasp #fisioterapeutasaopaulo #saopaulo #zonasul #zonaoeste</t>
  </si>
  <si>
    <t xml:space="preserve">Dor lombar</t>
  </si>
  <si>
    <t xml:space="preserve">#dornaslombar #dorlombar #dornascostas #posturacorreta</t>
  </si>
  <si>
    <t xml:space="preserve">Dor cervical/ombro</t>
  </si>
  <si>
    <t xml:space="preserve">#dornocolo #dornoombro #torcicolo</t>
  </si>
  <si>
    <t xml:space="preserve">Joelho/esporte</t>
  </si>
  <si>
    <t xml:space="preserve">#dornojoelho #lesaonoesporte #voltaraoesporte</t>
  </si>
  <si>
    <t xml:space="preserve">Bem-estar geral</t>
  </si>
  <si>
    <t xml:space="preserve">#qualidadedevida #saude #bemestar #autocuidado</t>
  </si>
  <si>
    <t xml:space="preserve">Misture 3 grupos por post (8–15 hashtags no total). Mais que isso não aumenta alcance.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</si>
</sst>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5F4E"/>
      <name val="Arial"/>
      <family val="0"/>
      <charset val="1"/>
    </font>
    <font>
      <i val="true"/>
      <sz val="9"/>
      <color rgb="FF5E6B6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5F4E"/>
      <name val="Arial"/>
      <family val="0"/>
      <charset val="1"/>
    </font>
    <font>
      <sz val="10"/>
      <color rgb="FF17231D"/>
      <name val="Arial"/>
      <family val="0"/>
      <charset val="1"/>
    </font>
    <font>
      <b val="true"/>
      <sz val="10"/>
      <color rgb="FF17231D"/>
      <name val="Arial"/>
      <family val="0"/>
      <charset val="1"/>
    </font>
    <font>
      <sz val="10"/>
      <color rgb="FF5E6B62"/>
      <name val="Arial"/>
      <family val="0"/>
      <charset val="1"/>
    </font>
    <font>
      <b val="true"/>
      <sz val="10"/>
      <color rgb="FF1F5F4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5F4E"/>
        <bgColor rgb="FF008080"/>
      </patternFill>
    </fill>
    <fill>
      <patternFill patternType="solid">
        <fgColor rgb="FFE4EEE9"/>
        <bgColor rgb="FFEFEFEF"/>
      </patternFill>
    </fill>
    <fill>
      <patternFill patternType="solid">
        <fgColor rgb="FFEFEFEF"/>
        <bgColor rgb="FFE9F0FB"/>
      </patternFill>
    </fill>
    <fill>
      <patternFill patternType="solid">
        <fgColor rgb="FFF4E9D3"/>
        <bgColor rgb="FFFBE7E4"/>
      </patternFill>
    </fill>
    <fill>
      <patternFill patternType="solid">
        <fgColor rgb="FFE9F0FB"/>
        <bgColor rgb="FFEFEFEF"/>
      </patternFill>
    </fill>
    <fill>
      <patternFill patternType="solid">
        <fgColor rgb="FFFBE7E4"/>
        <bgColor rgb="FFF4E9D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DFD0"/>
      </bottom>
      <diagonal/>
    </border>
    <border diagonalUp="false" diagonalDown="false">
      <left style="thin">
        <color rgb="FFE4DFD0"/>
      </left>
      <right style="thin">
        <color rgb="FFE4DFD0"/>
      </right>
      <top style="thin">
        <color rgb="FFE4DFD0"/>
      </top>
      <bottom style="thin">
        <color rgb="FFE4DF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4E"/>
      <rgbColor rgb="FFC0C0C0"/>
      <rgbColor rgb="FF808080"/>
      <rgbColor rgb="FF9999FF"/>
      <rgbColor rgb="FF993366"/>
      <rgbColor rgb="FFF4E9D3"/>
      <rgbColor rgb="FFE9F0FB"/>
      <rgbColor rgb="FF660066"/>
      <rgbColor rgb="FFFF8080"/>
      <rgbColor rgb="FF0066CC"/>
      <rgbColor rgb="FFE4DF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EE9"/>
      <rgbColor rgb="FFEFEFEF"/>
      <rgbColor rgb="FFFBE7E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B62"/>
      <rgbColor rgb="FF969696"/>
      <rgbColor rgb="FF003366"/>
      <rgbColor rgb="FF339966"/>
      <rgbColor rgb="FF1723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10" min="10" style="0" width="16"/>
    <col collapsed="false" customWidth="true" hidden="false" outlineLevel="0" max="11" min="11" style="0" width="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J4" s="4" t="s">
        <v>10</v>
      </c>
    </row>
    <row r="5" customFormat="false" ht="69.75" hidden="false" customHeight="true" outlineLevel="0" collapsed="false">
      <c r="A5" s="5" t="n">
        <v>46272</v>
      </c>
      <c r="B5" s="6" t="s">
        <v>11</v>
      </c>
      <c r="C5" s="7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J5" s="8" t="s">
        <v>18</v>
      </c>
      <c r="K5" s="9" t="n">
        <f aca="false">COUNTA(A5:A24)</f>
        <v>20</v>
      </c>
    </row>
    <row r="6" customFormat="false" ht="69.75" hidden="false" customHeight="true" outlineLevel="0" collapsed="false">
      <c r="A6" s="5" t="n">
        <v>46274</v>
      </c>
      <c r="B6" s="6" t="s">
        <v>19</v>
      </c>
      <c r="C6" s="10" t="s">
        <v>20</v>
      </c>
      <c r="D6" s="6" t="s">
        <v>13</v>
      </c>
      <c r="E6" s="6" t="s">
        <v>21</v>
      </c>
      <c r="F6" s="6" t="s">
        <v>22</v>
      </c>
      <c r="G6" s="6" t="s">
        <v>23</v>
      </c>
      <c r="H6" s="6" t="s">
        <v>17</v>
      </c>
      <c r="J6" s="8" t="s">
        <v>17</v>
      </c>
      <c r="K6" s="9" t="n">
        <f aca="false">COUNTIF(H5:H24,"A fazer")</f>
        <v>20</v>
      </c>
    </row>
    <row r="7" customFormat="false" ht="69.75" hidden="false" customHeight="true" outlineLevel="0" collapsed="false">
      <c r="A7" s="5" t="n">
        <v>46275</v>
      </c>
      <c r="B7" s="6" t="s">
        <v>24</v>
      </c>
      <c r="C7" s="11" t="s">
        <v>25</v>
      </c>
      <c r="D7" s="6" t="s">
        <v>26</v>
      </c>
      <c r="E7" s="6" t="s">
        <v>27</v>
      </c>
      <c r="F7" s="6" t="s">
        <v>28</v>
      </c>
      <c r="G7" s="6" t="s">
        <v>29</v>
      </c>
      <c r="H7" s="6" t="s">
        <v>17</v>
      </c>
      <c r="J7" s="8" t="s">
        <v>30</v>
      </c>
      <c r="K7" s="9" t="n">
        <f aca="false">COUNTIF(H5:H24,"Em produção")</f>
        <v>0</v>
      </c>
    </row>
    <row r="8" customFormat="false" ht="69.75" hidden="false" customHeight="true" outlineLevel="0" collapsed="false">
      <c r="A8" s="5" t="n">
        <v>46276</v>
      </c>
      <c r="B8" s="6" t="s">
        <v>31</v>
      </c>
      <c r="C8" s="12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17</v>
      </c>
      <c r="J8" s="8" t="s">
        <v>37</v>
      </c>
      <c r="K8" s="9" t="n">
        <f aca="false">COUNTIF(H5:H24,"Agendado")</f>
        <v>0</v>
      </c>
    </row>
    <row r="9" customFormat="false" ht="69.75" hidden="false" customHeight="true" outlineLevel="0" collapsed="false">
      <c r="A9" s="5" t="n">
        <v>46277</v>
      </c>
      <c r="B9" s="6" t="s">
        <v>38</v>
      </c>
      <c r="C9" s="13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17</v>
      </c>
      <c r="J9" s="8" t="s">
        <v>44</v>
      </c>
      <c r="K9" s="9" t="n">
        <f aca="false">COUNTIF(H5:H24,"Publicado")</f>
        <v>0</v>
      </c>
    </row>
    <row r="10" customFormat="false" ht="69.75" hidden="false" customHeight="true" outlineLevel="0" collapsed="false">
      <c r="A10" s="5" t="n">
        <v>46279</v>
      </c>
      <c r="B10" s="6" t="s">
        <v>11</v>
      </c>
      <c r="C10" s="7" t="s">
        <v>12</v>
      </c>
      <c r="D10" s="6" t="s">
        <v>45</v>
      </c>
      <c r="E10" s="6" t="s">
        <v>46</v>
      </c>
      <c r="F10" s="6" t="s">
        <v>47</v>
      </c>
      <c r="G10" s="6" t="s">
        <v>48</v>
      </c>
      <c r="H10" s="6" t="s">
        <v>17</v>
      </c>
    </row>
    <row r="11" customFormat="false" ht="69.75" hidden="false" customHeight="true" outlineLevel="0" collapsed="false">
      <c r="A11" s="5" t="n">
        <v>46281</v>
      </c>
      <c r="B11" s="6" t="s">
        <v>19</v>
      </c>
      <c r="C11" s="7" t="s">
        <v>12</v>
      </c>
      <c r="D11" s="6" t="s">
        <v>13</v>
      </c>
      <c r="E11" s="6" t="s">
        <v>49</v>
      </c>
      <c r="F11" s="6" t="s">
        <v>50</v>
      </c>
      <c r="G11" s="6" t="s">
        <v>51</v>
      </c>
      <c r="H11" s="6" t="s">
        <v>17</v>
      </c>
    </row>
    <row r="12" customFormat="false" ht="69.75" hidden="false" customHeight="true" outlineLevel="0" collapsed="false">
      <c r="A12" s="5" t="n">
        <v>46282</v>
      </c>
      <c r="B12" s="6" t="s">
        <v>24</v>
      </c>
      <c r="C12" s="11" t="s">
        <v>25</v>
      </c>
      <c r="D12" s="6" t="s">
        <v>26</v>
      </c>
      <c r="E12" s="6" t="s">
        <v>52</v>
      </c>
      <c r="F12" s="6" t="s">
        <v>53</v>
      </c>
      <c r="G12" s="6" t="s">
        <v>54</v>
      </c>
      <c r="H12" s="6" t="s">
        <v>17</v>
      </c>
    </row>
    <row r="13" customFormat="false" ht="69.75" hidden="false" customHeight="true" outlineLevel="0" collapsed="false">
      <c r="A13" s="5" t="n">
        <v>46283</v>
      </c>
      <c r="B13" s="6" t="s">
        <v>31</v>
      </c>
      <c r="C13" s="12" t="s">
        <v>32</v>
      </c>
      <c r="D13" s="6" t="s">
        <v>33</v>
      </c>
      <c r="E13" s="6" t="s">
        <v>55</v>
      </c>
      <c r="F13" s="6" t="s">
        <v>56</v>
      </c>
      <c r="G13" s="6" t="s">
        <v>36</v>
      </c>
      <c r="H13" s="6" t="s">
        <v>17</v>
      </c>
    </row>
    <row r="14" customFormat="false" ht="69.75" hidden="false" customHeight="true" outlineLevel="0" collapsed="false">
      <c r="A14" s="5" t="n">
        <v>46284</v>
      </c>
      <c r="B14" s="6" t="s">
        <v>38</v>
      </c>
      <c r="C14" s="13" t="s">
        <v>39</v>
      </c>
      <c r="D14" s="6" t="s">
        <v>40</v>
      </c>
      <c r="E14" s="6" t="s">
        <v>57</v>
      </c>
      <c r="F14" s="6" t="s">
        <v>58</v>
      </c>
      <c r="G14" s="6" t="s">
        <v>43</v>
      </c>
      <c r="H14" s="6" t="s">
        <v>17</v>
      </c>
    </row>
    <row r="15" customFormat="false" ht="69.75" hidden="false" customHeight="true" outlineLevel="0" collapsed="false">
      <c r="A15" s="5" t="n">
        <v>46286</v>
      </c>
      <c r="B15" s="6" t="s">
        <v>11</v>
      </c>
      <c r="C15" s="7" t="s">
        <v>12</v>
      </c>
      <c r="D15" s="6" t="s">
        <v>13</v>
      </c>
      <c r="E15" s="6" t="s">
        <v>59</v>
      </c>
      <c r="F15" s="6" t="s">
        <v>60</v>
      </c>
      <c r="G15" s="6" t="s">
        <v>61</v>
      </c>
      <c r="H15" s="6" t="s">
        <v>17</v>
      </c>
    </row>
    <row r="16" customFormat="false" ht="69.75" hidden="false" customHeight="true" outlineLevel="0" collapsed="false">
      <c r="A16" s="5" t="n">
        <v>46288</v>
      </c>
      <c r="B16" s="6" t="s">
        <v>19</v>
      </c>
      <c r="C16" s="10" t="s">
        <v>20</v>
      </c>
      <c r="D16" s="6" t="s">
        <v>13</v>
      </c>
      <c r="E16" s="6" t="s">
        <v>62</v>
      </c>
      <c r="F16" s="6" t="s">
        <v>63</v>
      </c>
      <c r="G16" s="6" t="s">
        <v>23</v>
      </c>
      <c r="H16" s="6" t="s">
        <v>17</v>
      </c>
    </row>
    <row r="17" customFormat="false" ht="69.75" hidden="false" customHeight="true" outlineLevel="0" collapsed="false">
      <c r="A17" s="5" t="n">
        <v>46289</v>
      </c>
      <c r="B17" s="6" t="s">
        <v>24</v>
      </c>
      <c r="C17" s="11" t="s">
        <v>25</v>
      </c>
      <c r="D17" s="6" t="s">
        <v>26</v>
      </c>
      <c r="E17" s="6" t="s">
        <v>64</v>
      </c>
      <c r="F17" s="6" t="s">
        <v>65</v>
      </c>
      <c r="G17" s="6" t="s">
        <v>66</v>
      </c>
      <c r="H17" s="6" t="s">
        <v>17</v>
      </c>
    </row>
    <row r="18" customFormat="false" ht="69.75" hidden="false" customHeight="true" outlineLevel="0" collapsed="false">
      <c r="A18" s="5" t="n">
        <v>46290</v>
      </c>
      <c r="B18" s="6" t="s">
        <v>31</v>
      </c>
      <c r="C18" s="12" t="s">
        <v>32</v>
      </c>
      <c r="D18" s="6" t="s">
        <v>33</v>
      </c>
      <c r="E18" s="6" t="s">
        <v>67</v>
      </c>
      <c r="F18" s="6" t="s">
        <v>56</v>
      </c>
      <c r="G18" s="6" t="s">
        <v>36</v>
      </c>
      <c r="H18" s="6" t="s">
        <v>17</v>
      </c>
    </row>
    <row r="19" customFormat="false" ht="69.75" hidden="false" customHeight="true" outlineLevel="0" collapsed="false">
      <c r="A19" s="5" t="n">
        <v>46291</v>
      </c>
      <c r="B19" s="6" t="s">
        <v>38</v>
      </c>
      <c r="C19" s="13" t="s">
        <v>39</v>
      </c>
      <c r="D19" s="6" t="s">
        <v>40</v>
      </c>
      <c r="E19" s="6" t="s">
        <v>68</v>
      </c>
      <c r="F19" s="6" t="s">
        <v>69</v>
      </c>
      <c r="G19" s="6" t="s">
        <v>43</v>
      </c>
      <c r="H19" s="6" t="s">
        <v>17</v>
      </c>
    </row>
    <row r="20" customFormat="false" ht="69.75" hidden="false" customHeight="true" outlineLevel="0" collapsed="false">
      <c r="A20" s="5" t="n">
        <v>46293</v>
      </c>
      <c r="B20" s="6" t="s">
        <v>11</v>
      </c>
      <c r="C20" s="7" t="s">
        <v>12</v>
      </c>
      <c r="D20" s="6" t="s">
        <v>45</v>
      </c>
      <c r="E20" s="6" t="s">
        <v>70</v>
      </c>
      <c r="F20" s="6" t="s">
        <v>71</v>
      </c>
      <c r="G20" s="6" t="s">
        <v>72</v>
      </c>
      <c r="H20" s="6" t="s">
        <v>17</v>
      </c>
    </row>
    <row r="21" customFormat="false" ht="69.75" hidden="false" customHeight="true" outlineLevel="0" collapsed="false">
      <c r="A21" s="5" t="n">
        <v>46295</v>
      </c>
      <c r="B21" s="6" t="s">
        <v>19</v>
      </c>
      <c r="C21" s="7" t="s">
        <v>12</v>
      </c>
      <c r="D21" s="6" t="s">
        <v>13</v>
      </c>
      <c r="E21" s="6" t="s">
        <v>73</v>
      </c>
      <c r="F21" s="6" t="s">
        <v>74</v>
      </c>
      <c r="G21" s="6" t="s">
        <v>75</v>
      </c>
      <c r="H21" s="6" t="s">
        <v>17</v>
      </c>
    </row>
    <row r="22" customFormat="false" ht="69.75" hidden="false" customHeight="true" outlineLevel="0" collapsed="false">
      <c r="A22" s="5" t="n">
        <v>46296</v>
      </c>
      <c r="B22" s="6" t="s">
        <v>24</v>
      </c>
      <c r="C22" s="11" t="s">
        <v>25</v>
      </c>
      <c r="D22" s="6" t="s">
        <v>26</v>
      </c>
      <c r="E22" s="6" t="s">
        <v>76</v>
      </c>
      <c r="F22" s="6" t="s">
        <v>77</v>
      </c>
      <c r="G22" s="6" t="s">
        <v>78</v>
      </c>
      <c r="H22" s="6" t="s">
        <v>17</v>
      </c>
    </row>
    <row r="23" customFormat="false" ht="69.75" hidden="false" customHeight="true" outlineLevel="0" collapsed="false">
      <c r="A23" s="5" t="n">
        <v>46297</v>
      </c>
      <c r="B23" s="6" t="s">
        <v>31</v>
      </c>
      <c r="C23" s="12" t="s">
        <v>32</v>
      </c>
      <c r="D23" s="6" t="s">
        <v>33</v>
      </c>
      <c r="E23" s="6" t="s">
        <v>79</v>
      </c>
      <c r="F23" s="6" t="s">
        <v>56</v>
      </c>
      <c r="G23" s="6" t="s">
        <v>36</v>
      </c>
      <c r="H23" s="6" t="s">
        <v>17</v>
      </c>
    </row>
    <row r="24" customFormat="false" ht="69.75" hidden="false" customHeight="true" outlineLevel="0" collapsed="false">
      <c r="A24" s="5" t="n">
        <v>46298</v>
      </c>
      <c r="B24" s="6" t="s">
        <v>38</v>
      </c>
      <c r="C24" s="13" t="s">
        <v>39</v>
      </c>
      <c r="D24" s="6" t="s">
        <v>40</v>
      </c>
      <c r="E24" s="6" t="s">
        <v>80</v>
      </c>
      <c r="F24" s="6" t="s">
        <v>81</v>
      </c>
      <c r="G24" s="6" t="s">
        <v>43</v>
      </c>
      <c r="H24" s="6" t="s">
        <v>17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H5:H24" type="list">
      <formula1>"A fazer,Em produção,Agendado,Publicado"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4</v>
      </c>
      <c r="B1" s="3" t="s">
        <v>82</v>
      </c>
      <c r="C1" s="3" t="s">
        <v>83</v>
      </c>
    </row>
    <row r="2" customFormat="false" ht="33.75" hidden="false" customHeight="true" outlineLevel="0" collapsed="false">
      <c r="A2" s="14" t="s">
        <v>84</v>
      </c>
      <c r="B2" s="15" t="s">
        <v>85</v>
      </c>
      <c r="C2" s="16" t="s">
        <v>86</v>
      </c>
    </row>
    <row r="3" customFormat="false" ht="33.75" hidden="false" customHeight="true" outlineLevel="0" collapsed="false">
      <c r="A3" s="14" t="s">
        <v>25</v>
      </c>
      <c r="B3" s="15" t="s">
        <v>87</v>
      </c>
      <c r="C3" s="16" t="s">
        <v>88</v>
      </c>
    </row>
    <row r="4" customFormat="false" ht="33.75" hidden="false" customHeight="true" outlineLevel="0" collapsed="false">
      <c r="A4" s="14" t="s">
        <v>32</v>
      </c>
      <c r="B4" s="15" t="s">
        <v>87</v>
      </c>
      <c r="C4" s="16" t="s">
        <v>89</v>
      </c>
    </row>
    <row r="5" customFormat="false" ht="33.75" hidden="false" customHeight="true" outlineLevel="0" collapsed="false">
      <c r="A5" s="14" t="s">
        <v>20</v>
      </c>
      <c r="B5" s="15" t="s">
        <v>90</v>
      </c>
      <c r="C5" s="16" t="s">
        <v>91</v>
      </c>
    </row>
    <row r="6" customFormat="false" ht="33.75" hidden="false" customHeight="true" outlineLevel="0" collapsed="false">
      <c r="A6" s="14" t="s">
        <v>92</v>
      </c>
      <c r="B6" s="15" t="s">
        <v>87</v>
      </c>
      <c r="C6" s="1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" t="s">
        <v>94</v>
      </c>
      <c r="B1" s="3" t="s">
        <v>95</v>
      </c>
    </row>
    <row r="2" customFormat="false" ht="19.5" hidden="false" customHeight="true" outlineLevel="0" collapsed="false">
      <c r="A2" s="14" t="s">
        <v>96</v>
      </c>
      <c r="B2" s="16" t="s">
        <v>97</v>
      </c>
    </row>
    <row r="3" customFormat="false" ht="19.5" hidden="false" customHeight="true" outlineLevel="0" collapsed="false">
      <c r="A3" s="14" t="s">
        <v>98</v>
      </c>
      <c r="B3" s="16" t="s">
        <v>99</v>
      </c>
    </row>
    <row r="4" customFormat="false" ht="19.5" hidden="false" customHeight="true" outlineLevel="0" collapsed="false">
      <c r="A4" s="14" t="s">
        <v>100</v>
      </c>
      <c r="B4" s="16" t="s">
        <v>101</v>
      </c>
    </row>
    <row r="5" customFormat="false" ht="19.5" hidden="false" customHeight="true" outlineLevel="0" collapsed="false">
      <c r="A5" s="14" t="s">
        <v>102</v>
      </c>
      <c r="B5" s="16" t="s">
        <v>103</v>
      </c>
    </row>
    <row r="6" customFormat="false" ht="19.5" hidden="false" customHeight="true" outlineLevel="0" collapsed="false">
      <c r="A6" s="14" t="s">
        <v>104</v>
      </c>
      <c r="B6" s="16" t="s">
        <v>105</v>
      </c>
    </row>
    <row r="7" customFormat="false" ht="19.5" hidden="false" customHeight="true" outlineLevel="0" collapsed="false">
      <c r="A7" s="14" t="s">
        <v>106</v>
      </c>
      <c r="B7" s="16" t="s">
        <v>107</v>
      </c>
    </row>
    <row r="9" customFormat="false" ht="15" hidden="false" customHeight="false" outlineLevel="0" collapsed="false">
      <c r="A9" s="1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2026-09-06T17:16:29Z</dcterms:created>
  <dc:creator>openpyxl</dc:creator>
  <dc:description/>
  <dc:language>en-US</dc:language>
  <cp:lastModifiedBy/>
  <dcterms:modified xsi:type="dcterms:W3CDTF">2026-09-06T17:16:29Z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